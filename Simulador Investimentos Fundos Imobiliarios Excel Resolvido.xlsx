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O\Excel\"/>
    </mc:Choice>
  </mc:AlternateContent>
  <xr:revisionPtr revIDLastSave="0" documentId="13_ncr:1_{BDC47B84-20E8-4ECF-9883-1F8DC6641EC9}" xr6:coauthVersionLast="47" xr6:coauthVersionMax="47" xr10:uidLastSave="{00000000-0000-0000-0000-000000000000}"/>
  <bookViews>
    <workbookView xWindow="-120" yWindow="-120" windowWidth="29040" windowHeight="15720" activeTab="1" xr2:uid="{A64C64F0-B24C-4C18-B79B-B43EC71443BE}"/>
  </bookViews>
  <sheets>
    <sheet name="Simulador" sheetId="4" r:id="rId1"/>
    <sheet name="PlanRef" sheetId="1" r:id="rId2"/>
  </sheets>
  <definedNames>
    <definedName name="aporte">Simulador!$D$12</definedName>
    <definedName name="patrimonio">Simulador!$D$15</definedName>
    <definedName name="qtd_anos">Simulador!$D$13</definedName>
    <definedName name="rendimento_carteira">Simulador!$D$8</definedName>
    <definedName name="salario">Simulador!$D$7</definedName>
    <definedName name="sugestao_investimento">Simulador!$D$9</definedName>
    <definedName name="taxa_mensal">Simulador!$D$14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4" l="1"/>
  <c r="C31" i="4"/>
  <c r="C32" i="4"/>
  <c r="C33" i="4"/>
  <c r="C34" i="4"/>
  <c r="C29" i="4"/>
  <c r="B16" i="1"/>
  <c r="B17" i="1"/>
  <c r="B18" i="1"/>
  <c r="B19" i="1"/>
  <c r="B20" i="1"/>
  <c r="B15" i="1"/>
  <c r="B10" i="1"/>
  <c r="B11" i="1"/>
  <c r="B12" i="1"/>
  <c r="B13" i="1"/>
  <c r="B14" i="1"/>
  <c r="B9" i="1"/>
  <c r="B4" i="1"/>
  <c r="B5" i="1"/>
  <c r="B6" i="1"/>
  <c r="B7" i="1"/>
  <c r="B8" i="1"/>
  <c r="B3" i="1"/>
  <c r="C26" i="4"/>
  <c r="D30" i="4" s="1"/>
  <c r="D15" i="4"/>
  <c r="D16" i="4" s="1"/>
  <c r="D9" i="4"/>
  <c r="C20" i="4"/>
  <c r="D20" i="4" s="1"/>
  <c r="C21" i="4"/>
  <c r="D21" i="4" s="1"/>
  <c r="C22" i="4"/>
  <c r="D22" i="4" s="1"/>
  <c r="C23" i="4"/>
  <c r="D23" i="4" s="1"/>
  <c r="C19" i="4"/>
  <c r="D19" i="4" s="1"/>
  <c r="D29" i="4" l="1"/>
  <c r="D34" i="4"/>
  <c r="D33" i="4"/>
  <c r="D32" i="4"/>
  <c r="D31" i="4"/>
  <c r="D35" i="4"/>
</calcChain>
</file>

<file path=xl/sharedStrings.xml><?xml version="1.0" encoding="utf-8"?>
<sst xmlns="http://schemas.openxmlformats.org/spreadsheetml/2006/main" count="76" uniqueCount="35">
  <si>
    <t>Quanto investir por mês</t>
  </si>
  <si>
    <t>Por Quantos Anos?</t>
  </si>
  <si>
    <t>Taxa de Rendimento Mensal?</t>
  </si>
  <si>
    <t>Patrimônio Acumulado?</t>
  </si>
  <si>
    <t>Dividendos Mensais?</t>
  </si>
  <si>
    <t>INVESTIMENTO MENSAL</t>
  </si>
  <si>
    <t>Quanto em 02 anos?</t>
  </si>
  <si>
    <t>Quanto em 05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</si>
  <si>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</si>
  <si>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</si>
  <si>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</si>
  <si>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</si>
  <si>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</si>
  <si>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</si>
  <si>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de Carteira</t>
  </si>
  <si>
    <t>Salário</t>
  </si>
  <si>
    <t>Sugestão de Investimentos</t>
  </si>
  <si>
    <t>CTRL + F3</t>
  </si>
  <si>
    <t>Abre lista de nomes de células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</si>
  <si>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</si>
  <si>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</si>
  <si>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</si>
  <si>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</si>
  <si>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</si>
  <si>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</si>
  <si>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</si>
  <si>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</si>
  <si>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</si>
  <si>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</si>
  <si>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</si>
  <si>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</t>
  </si>
  <si>
    <t>Conservador</t>
  </si>
  <si>
    <t>Moderado</t>
  </si>
  <si>
    <t>Chave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</si>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</sst>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ashed">
        <color theme="4" tint="0.39994506668294322"/>
      </right>
      <top/>
      <bottom style="dashed">
        <color theme="4" tint="0.39994506668294322"/>
      </bottom>
      <diagonal/>
    </border>
    <border>
      <left/>
      <right style="dashed">
        <color theme="4" tint="0.39994506668294322"/>
      </right>
      <top style="dashed">
        <color theme="4" tint="0.39994506668294322"/>
      </top>
      <bottom style="dashed">
        <color theme="4" tint="0.39994506668294322"/>
      </bottom>
      <diagonal/>
    </border>
    <border>
      <left style="dashed">
        <color theme="4" tint="0.39994506668294322"/>
      </left>
      <right style="medium">
        <color indexed="64"/>
      </right>
      <top/>
      <bottom style="dashed">
        <color theme="4" tint="0.39994506668294322"/>
      </bottom>
      <diagonal/>
    </border>
    <border>
      <left style="dashed">
        <color theme="4" tint="0.39994506668294322"/>
      </left>
      <right style="medium">
        <color indexed="64"/>
      </right>
      <top style="dashed">
        <color theme="4" tint="0.39994506668294322"/>
      </top>
      <bottom style="dashed">
        <color theme="4" tint="0.39994506668294322"/>
      </bottom>
      <diagonal/>
    </border>
    <border>
      <left style="dashed">
        <color theme="4" tint="0.39994506668294322"/>
      </left>
      <right style="medium">
        <color indexed="64"/>
      </right>
      <top style="dashed">
        <color theme="4" tint="0.39994506668294322"/>
      </top>
      <bottom style="medium">
        <color indexed="64"/>
      </bottom>
      <diagonal/>
    </border>
    <border>
      <left style="dashed">
        <color theme="4" tint="0.59996337778862885"/>
      </left>
      <right style="dashed">
        <color theme="4" tint="0.59996337778862885"/>
      </right>
      <top style="dashed">
        <color theme="4" tint="0.59996337778862885"/>
      </top>
      <bottom style="dashed">
        <color theme="4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theme="4" tint="0.59996337778862885"/>
      </left>
      <right style="medium">
        <color indexed="64"/>
      </right>
      <top/>
      <bottom style="dashed">
        <color theme="4" tint="0.59996337778862885"/>
      </bottom>
      <diagonal/>
    </border>
    <border>
      <left style="medium">
        <color indexed="64"/>
      </left>
      <right style="dashed">
        <color theme="4" tint="0.59996337778862885"/>
      </right>
      <top style="dashed">
        <color theme="4" tint="0.59996337778862885"/>
      </top>
      <bottom style="dashed">
        <color theme="4" tint="0.59996337778862885"/>
      </bottom>
      <diagonal/>
    </border>
    <border>
      <left style="medium">
        <color indexed="64"/>
      </left>
      <right style="dashed">
        <color theme="4" tint="0.59996337778862885"/>
      </right>
      <top style="dashed">
        <color theme="4" tint="0.59996337778862885"/>
      </top>
      <bottom style="medium">
        <color indexed="64"/>
      </bottom>
      <diagonal/>
    </border>
    <border>
      <left style="dashed">
        <color theme="4" tint="0.59996337778862885"/>
      </left>
      <right style="dashed">
        <color theme="4" tint="0.59996337778862885"/>
      </right>
      <top style="dashed">
        <color theme="4" tint="0.59996337778862885"/>
      </top>
      <bottom style="medium">
        <color indexed="64"/>
      </bottom>
      <diagonal/>
    </border>
    <border>
      <left style="medium">
        <color indexed="64"/>
      </left>
      <right style="dashed">
        <color theme="4" tint="0.59996337778862885"/>
      </right>
      <top style="medium">
        <color indexed="64"/>
      </top>
      <bottom style="dashed">
        <color theme="4" tint="0.59996337778862885"/>
      </bottom>
      <diagonal/>
    </border>
    <border>
      <left style="dashed">
        <color theme="4" tint="0.59996337778862885"/>
      </left>
      <right style="dashed">
        <color theme="4" tint="0.59996337778862885"/>
      </right>
      <top style="medium">
        <color indexed="64"/>
      </top>
      <bottom style="dashed">
        <color theme="4" tint="0.59996337778862885"/>
      </bottom>
      <diagonal/>
    </border>
    <border>
      <left style="dashed">
        <color theme="4" tint="0.59996337778862885"/>
      </left>
      <right style="medium">
        <color indexed="64"/>
      </right>
      <top style="medium">
        <color indexed="64"/>
      </top>
      <bottom style="dashed">
        <color theme="4" tint="0.59996337778862885"/>
      </bottom>
      <diagonal/>
    </border>
    <border>
      <left style="dashed">
        <color theme="4" tint="0.59996337778862885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theme="9" tint="0.59996337778862885"/>
      </right>
      <top/>
      <bottom style="hair">
        <color theme="9" tint="0.59996337778862885"/>
      </bottom>
      <diagonal/>
    </border>
    <border>
      <left style="hair">
        <color theme="9" tint="0.59996337778862885"/>
      </left>
      <right style="hair">
        <color theme="9" tint="0.59996337778862885"/>
      </right>
      <top/>
      <bottom style="hair">
        <color theme="9" tint="0.59996337778862885"/>
      </bottom>
      <diagonal/>
    </border>
    <border>
      <left style="hair">
        <color theme="9" tint="0.59996337778862885"/>
      </left>
      <right style="medium">
        <color indexed="64"/>
      </right>
      <top/>
      <bottom style="hair">
        <color theme="9" tint="0.59996337778862885"/>
      </bottom>
      <diagonal/>
    </border>
    <border>
      <left style="medium">
        <color indexed="64"/>
      </left>
      <right style="hair">
        <color theme="9" tint="0.59996337778862885"/>
      </right>
      <top style="hair">
        <color theme="9" tint="0.59996337778862885"/>
      </top>
      <bottom style="hair">
        <color theme="9" tint="0.59996337778862885"/>
      </bottom>
      <diagonal/>
    </border>
    <border>
      <left style="hair">
        <color theme="9" tint="0.59996337778862885"/>
      </left>
      <right style="hair">
        <color theme="9" tint="0.59996337778862885"/>
      </right>
      <top style="hair">
        <color theme="9" tint="0.59996337778862885"/>
      </top>
      <bottom style="hair">
        <color theme="9" tint="0.59996337778862885"/>
      </bottom>
      <diagonal/>
    </border>
    <border>
      <left style="hair">
        <color theme="9" tint="0.59996337778862885"/>
      </left>
      <right style="medium">
        <color indexed="64"/>
      </right>
      <top style="hair">
        <color theme="9" tint="0.59996337778862885"/>
      </top>
      <bottom style="hair">
        <color theme="9" tint="0.59996337778862885"/>
      </bottom>
      <diagonal/>
    </border>
    <border>
      <left style="hair">
        <color theme="9" tint="0.59996337778862885"/>
      </left>
      <right style="medium">
        <color indexed="64"/>
      </right>
      <top style="hair">
        <color theme="9" tint="0.59996337778862885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9" tint="0.59996337778862885"/>
      </right>
      <top style="hair">
        <color theme="9" tint="0.59996337778862885"/>
      </top>
      <bottom style="medium">
        <color indexed="64"/>
      </bottom>
      <diagonal/>
    </border>
    <border>
      <left style="hair">
        <color theme="9" tint="0.59996337778862885"/>
      </left>
      <right style="hair">
        <color theme="9" tint="0.59996337778862885"/>
      </right>
      <top style="hair">
        <color theme="9" tint="0.59996337778862885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theme="4" tint="0.39994506668294322"/>
      </bottom>
      <diagonal/>
    </border>
    <border>
      <left style="medium">
        <color indexed="64"/>
      </left>
      <right/>
      <top style="dashed">
        <color theme="4" tint="0.39994506668294322"/>
      </top>
      <bottom style="dashed">
        <color theme="4" tint="0.39994506668294322"/>
      </bottom>
      <diagonal/>
    </border>
    <border>
      <left style="medium">
        <color indexed="64"/>
      </left>
      <right/>
      <top style="dashed">
        <color theme="4" tint="0.39994506668294322"/>
      </top>
      <bottom style="medium">
        <color indexed="64"/>
      </bottom>
      <diagonal/>
    </border>
    <border>
      <left/>
      <right style="dashed">
        <color theme="4" tint="0.39994506668294322"/>
      </right>
      <top style="dashed">
        <color theme="4" tint="0.39994506668294322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0" fontId="0" fillId="0" borderId="6" xfId="0" applyBorder="1" applyProtection="1">
      <protection locked="0"/>
    </xf>
    <xf numFmtId="10" fontId="0" fillId="0" borderId="6" xfId="2" applyNumberFormat="1" applyFont="1" applyBorder="1" applyProtection="1">
      <protection locked="0"/>
    </xf>
    <xf numFmtId="164" fontId="0" fillId="0" borderId="5" xfId="0" applyNumberFormat="1" applyBorder="1" applyProtection="1">
      <protection locked="0"/>
    </xf>
    <xf numFmtId="8" fontId="0" fillId="4" borderId="6" xfId="0" applyNumberFormat="1" applyFill="1" applyBorder="1"/>
    <xf numFmtId="8" fontId="0" fillId="4" borderId="7" xfId="0" applyNumberFormat="1" applyFill="1" applyBorder="1"/>
    <xf numFmtId="0" fontId="2" fillId="0" borderId="0" xfId="0" applyFont="1"/>
    <xf numFmtId="0" fontId="3" fillId="3" borderId="9" xfId="0" applyFont="1" applyFill="1" applyBorder="1" applyAlignment="1">
      <alignment vertical="center"/>
    </xf>
    <xf numFmtId="8" fontId="0" fillId="4" borderId="10" xfId="0" applyNumberFormat="1" applyFill="1" applyBorder="1"/>
    <xf numFmtId="0" fontId="0" fillId="4" borderId="11" xfId="0" applyFill="1" applyBorder="1"/>
    <xf numFmtId="8" fontId="0" fillId="4" borderId="8" xfId="0" applyNumberFormat="1" applyFill="1" applyBorder="1"/>
    <xf numFmtId="0" fontId="0" fillId="4" borderId="12" xfId="0" applyFill="1" applyBorder="1"/>
    <xf numFmtId="8" fontId="0" fillId="4" borderId="13" xfId="0" applyNumberFormat="1" applyFill="1" applyBorder="1"/>
    <xf numFmtId="0" fontId="0" fillId="4" borderId="14" xfId="0" applyFill="1" applyBorder="1"/>
    <xf numFmtId="8" fontId="0" fillId="4" borderId="15" xfId="0" applyNumberFormat="1" applyFill="1" applyBorder="1"/>
    <xf numFmtId="8" fontId="0" fillId="4" borderId="16" xfId="0" applyNumberFormat="1" applyFill="1" applyBorder="1"/>
    <xf numFmtId="8" fontId="0" fillId="4" borderId="17" xfId="0" applyNumberFormat="1" applyFill="1" applyBorder="1"/>
    <xf numFmtId="164" fontId="0" fillId="0" borderId="20" xfId="1" applyNumberFormat="1" applyFont="1" applyBorder="1"/>
    <xf numFmtId="10" fontId="0" fillId="0" borderId="23" xfId="2" applyNumberFormat="1" applyFont="1" applyBorder="1"/>
    <xf numFmtId="164" fontId="0" fillId="0" borderId="24" xfId="0" applyNumberFormat="1" applyBorder="1"/>
    <xf numFmtId="0" fontId="6" fillId="2" borderId="1" xfId="3" applyFont="1" applyBorder="1" applyAlignment="1">
      <alignment horizontal="center" vertical="center"/>
    </xf>
    <xf numFmtId="0" fontId="6" fillId="2" borderId="25" xfId="3" applyFont="1" applyBorder="1" applyAlignment="1">
      <alignment horizontal="center" vertical="center"/>
    </xf>
    <xf numFmtId="0" fontId="6" fillId="2" borderId="2" xfId="3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4" borderId="30" xfId="0" applyFont="1" applyFill="1" applyBorder="1" applyAlignment="1">
      <alignment horizontal="left"/>
    </xf>
    <xf numFmtId="0" fontId="5" fillId="4" borderId="31" xfId="0" applyFont="1" applyFill="1" applyBorder="1" applyAlignment="1">
      <alignment horizontal="left"/>
    </xf>
    <xf numFmtId="0" fontId="3" fillId="3" borderId="25" xfId="0" applyFont="1" applyFill="1" applyBorder="1" applyAlignment="1">
      <alignment horizontal="center" vertical="center"/>
    </xf>
    <xf numFmtId="0" fontId="7" fillId="2" borderId="0" xfId="3" applyFont="1"/>
    <xf numFmtId="0" fontId="7" fillId="2" borderId="0" xfId="3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2" applyFont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5" borderId="0" xfId="0" applyFill="1"/>
    <xf numFmtId="0" fontId="0" fillId="0" borderId="32" xfId="0" applyBorder="1"/>
    <xf numFmtId="0" fontId="0" fillId="0" borderId="32" xfId="0" applyBorder="1" applyAlignment="1">
      <alignment horizontal="center"/>
    </xf>
    <xf numFmtId="9" fontId="0" fillId="0" borderId="32" xfId="2" applyFont="1" applyBorder="1"/>
    <xf numFmtId="0" fontId="8" fillId="0" borderId="0" xfId="0" applyFont="1"/>
    <xf numFmtId="164" fontId="9" fillId="5" borderId="0" xfId="0" applyNumberFormat="1" applyFont="1" applyFill="1" applyAlignment="1">
      <alignment horizontal="center"/>
    </xf>
  </cellXfs>
  <cellStyles count="4">
    <cellStyle name="Ênfase4" xfId="3" builtinId="41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9527</xdr:colOff>
      <xdr:row>0</xdr:row>
      <xdr:rowOff>66675</xdr:rowOff>
    </xdr:from>
    <xdr:to>
      <xdr:col>3</xdr:col>
      <xdr:colOff>1000125</xdr:colOff>
      <xdr:row>4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138C297-57FC-4DB2-990C-213B4FC2CD33}"/>
            </a:ext>
          </a:extLst>
        </xdr:cNvPr>
        <xdr:cNvSpPr txBox="1"/>
      </xdr:nvSpPr>
      <xdr:spPr>
        <a:xfrm>
          <a:off x="285752" y="66675"/>
          <a:ext cx="5314948" cy="77152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000" b="1">
              <a:solidFill>
                <a:schemeClr val="bg1"/>
              </a:solidFill>
            </a:rPr>
            <a:t>DIO INVEST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5C0C-5F09-46DE-90E1-DF68AA1DA2FF}">
  <dimension ref="A5:D35"/>
  <sheetViews>
    <sheetView showGridLines="0" workbookViewId="0">
      <selection activeCell="E31" sqref="E31"/>
    </sheetView>
  </sheetViews>
  <sheetFormatPr defaultRowHeight="15" x14ac:dyDescent="0.25"/>
  <cols>
    <col min="1" max="1" width="4.140625" customWidth="1"/>
    <col min="2" max="2" width="34.140625" bestFit="1" customWidth="1"/>
    <col min="3" max="3" width="30.7109375" customWidth="1"/>
    <col min="4" max="4" width="15.42578125" customWidth="1"/>
    <col min="5" max="5" width="34.140625" bestFit="1" customWidth="1"/>
    <col min="6" max="6" width="12.140625" bestFit="1" customWidth="1"/>
  </cols>
  <sheetData>
    <row r="5" spans="2:4" ht="15.75" thickBot="1" x14ac:dyDescent="0.3"/>
    <row r="6" spans="2:4" ht="26.25" x14ac:dyDescent="0.25">
      <c r="B6" s="20" t="s">
        <v>13</v>
      </c>
      <c r="C6" s="21"/>
      <c r="D6" s="22"/>
    </row>
    <row r="7" spans="2:4" x14ac:dyDescent="0.25">
      <c r="B7" s="23" t="s">
        <v>15</v>
      </c>
      <c r="C7" s="24"/>
      <c r="D7" s="17">
        <v>2000</v>
      </c>
    </row>
    <row r="8" spans="2:4" x14ac:dyDescent="0.25">
      <c r="B8" s="25" t="s">
        <v>14</v>
      </c>
      <c r="C8" s="26"/>
      <c r="D8" s="18">
        <v>8.8999999999999999E-3</v>
      </c>
    </row>
    <row r="9" spans="2:4" ht="15.75" thickBot="1" x14ac:dyDescent="0.3">
      <c r="B9" s="27" t="s">
        <v>16</v>
      </c>
      <c r="C9" s="28"/>
      <c r="D9" s="19">
        <f>D7*30%</f>
        <v>600</v>
      </c>
    </row>
    <row r="10" spans="2:4" ht="8.25" customHeight="1" thickBot="1" x14ac:dyDescent="0.3"/>
    <row r="11" spans="2:4" ht="39" customHeight="1" x14ac:dyDescent="0.25">
      <c r="B11" s="33" t="s">
        <v>5</v>
      </c>
      <c r="C11" s="39"/>
      <c r="D11" s="34"/>
    </row>
    <row r="12" spans="2:4" ht="18.75" x14ac:dyDescent="0.3">
      <c r="B12" s="29" t="s">
        <v>0</v>
      </c>
      <c r="C12" s="30"/>
      <c r="D12" s="3">
        <v>200</v>
      </c>
    </row>
    <row r="13" spans="2:4" ht="18.75" x14ac:dyDescent="0.3">
      <c r="B13" s="31" t="s">
        <v>1</v>
      </c>
      <c r="C13" s="32"/>
      <c r="D13" s="1">
        <v>5</v>
      </c>
    </row>
    <row r="14" spans="2:4" ht="18.75" x14ac:dyDescent="0.3">
      <c r="B14" s="31" t="s">
        <v>2</v>
      </c>
      <c r="C14" s="32"/>
      <c r="D14" s="2">
        <v>1.0789999999999999E-2</v>
      </c>
    </row>
    <row r="15" spans="2:4" ht="18.75" x14ac:dyDescent="0.3">
      <c r="B15" s="35" t="s">
        <v>3</v>
      </c>
      <c r="C15" s="36"/>
      <c r="D15" s="4">
        <f>FV(taxa_mensal,qtd_anos*12,aporte*-1)</f>
        <v>16755.382799697527</v>
      </c>
    </row>
    <row r="16" spans="2:4" ht="19.5" thickBot="1" x14ac:dyDescent="0.35">
      <c r="B16" s="37" t="s">
        <v>4</v>
      </c>
      <c r="C16" s="38"/>
      <c r="D16" s="5">
        <f>patrimonio*rendimento_carteira</f>
        <v>149.122906917308</v>
      </c>
    </row>
    <row r="17" spans="1:4" ht="8.25" customHeight="1" thickBot="1" x14ac:dyDescent="0.3"/>
    <row r="18" spans="1:4" ht="19.5" thickBot="1" x14ac:dyDescent="0.3">
      <c r="B18" s="33" t="s">
        <v>11</v>
      </c>
      <c r="C18" s="34"/>
      <c r="D18" s="7" t="s">
        <v>12</v>
      </c>
    </row>
    <row r="19" spans="1:4" x14ac:dyDescent="0.25">
      <c r="A19" s="6">
        <v>2</v>
      </c>
      <c r="B19" s="13" t="s">
        <v>6</v>
      </c>
      <c r="C19" s="14">
        <f>FV($D$14,$A19*12,$D$12*-1)</f>
        <v>5445.5254595290435</v>
      </c>
      <c r="D19" s="15">
        <f>C19*rendimento_carteira</f>
        <v>48.465176589808486</v>
      </c>
    </row>
    <row r="20" spans="1:4" x14ac:dyDescent="0.25">
      <c r="A20" s="6">
        <v>5</v>
      </c>
      <c r="B20" s="9" t="s">
        <v>7</v>
      </c>
      <c r="C20" s="10">
        <f>FV($D$14,$A20*12,$D$12*-1)</f>
        <v>16755.382799697527</v>
      </c>
      <c r="D20" s="8">
        <f>C20*rendimento_carteira</f>
        <v>149.122906917308</v>
      </c>
    </row>
    <row r="21" spans="1:4" x14ac:dyDescent="0.25">
      <c r="A21" s="6">
        <v>10</v>
      </c>
      <c r="B21" s="9" t="s">
        <v>8</v>
      </c>
      <c r="C21" s="10">
        <f>FV($D$14,$A21*12,$D$12*-1)</f>
        <v>48656.842506034438</v>
      </c>
      <c r="D21" s="8">
        <f>C21*rendimento_carteira</f>
        <v>433.04589830370651</v>
      </c>
    </row>
    <row r="22" spans="1:4" x14ac:dyDescent="0.25">
      <c r="A22" s="6">
        <v>20</v>
      </c>
      <c r="B22" s="9" t="s">
        <v>9</v>
      </c>
      <c r="C22" s="10">
        <f>FV($D$14,$A22*12,$D$12*-1)</f>
        <v>225039.68001941612</v>
      </c>
      <c r="D22" s="8">
        <f>C22*rendimento_carteira</f>
        <v>2002.8531521728034</v>
      </c>
    </row>
    <row r="23" spans="1:4" ht="15.75" thickBot="1" x14ac:dyDescent="0.3">
      <c r="A23" s="6">
        <v>30</v>
      </c>
      <c r="B23" s="11" t="s">
        <v>10</v>
      </c>
      <c r="C23" s="12">
        <f>FV($D$14,$A23*12,$D$12*-1)</f>
        <v>864433.93100094295</v>
      </c>
      <c r="D23" s="16">
        <f>C23*rendimento_carteira</f>
        <v>7693.4619859083923</v>
      </c>
    </row>
    <row r="24" spans="1:4" ht="8.25" customHeight="1" x14ac:dyDescent="0.25"/>
    <row r="25" spans="1:4" x14ac:dyDescent="0.25">
      <c r="B25" s="40" t="s">
        <v>19</v>
      </c>
      <c r="C25" s="41" t="s">
        <v>20</v>
      </c>
      <c r="D25" s="40"/>
    </row>
    <row r="26" spans="1:4" x14ac:dyDescent="0.25">
      <c r="B26" t="s">
        <v>21</v>
      </c>
      <c r="C26" s="42">
        <f>aporte</f>
        <v>200</v>
      </c>
    </row>
    <row r="28" spans="1:4" x14ac:dyDescent="0.25">
      <c r="B28" s="47" t="s">
        <v>22</v>
      </c>
      <c r="C28" s="47" t="s">
        <v>23</v>
      </c>
      <c r="D28" s="47" t="s">
        <v>24</v>
      </c>
    </row>
    <row r="29" spans="1:4" x14ac:dyDescent="0.25">
      <c r="B29" s="44" t="s">
        <v>25</v>
      </c>
      <c r="C29" s="45">
        <f>VLOOKUP($C$25&amp;"-"&amp;B29,PlanRef!$B$2:$E$20,4,FALSE)</f>
        <v>0.5</v>
      </c>
      <c r="D29" s="42">
        <f>C29*$C$26</f>
        <v>100</v>
      </c>
    </row>
    <row r="30" spans="1:4" x14ac:dyDescent="0.25">
      <c r="B30" s="44" t="s">
        <v>26</v>
      </c>
      <c r="C30" s="45">
        <f>VLOOKUP($C$25&amp;"-"&amp;B30,PlanRef!$B$2:$E$20,4,FALSE)</f>
        <v>0.1</v>
      </c>
      <c r="D30" s="42">
        <f t="shared" ref="D30:D34" si="0">C30*$C$26</f>
        <v>20</v>
      </c>
    </row>
    <row r="31" spans="1:4" x14ac:dyDescent="0.25">
      <c r="B31" s="44" t="s">
        <v>27</v>
      </c>
      <c r="C31" s="45">
        <f>VLOOKUP($C$25&amp;"-"&amp;B31,PlanRef!$B$2:$E$20,4,FALSE)</f>
        <v>0.05</v>
      </c>
      <c r="D31" s="42">
        <f t="shared" si="0"/>
        <v>10</v>
      </c>
    </row>
    <row r="32" spans="1:4" x14ac:dyDescent="0.25">
      <c r="B32" s="44" t="s">
        <v>28</v>
      </c>
      <c r="C32" s="45">
        <f>VLOOKUP($C$25&amp;"-"&amp;B32,PlanRef!$B$2:$E$20,4,FALSE)</f>
        <v>0.05</v>
      </c>
      <c r="D32" s="42">
        <f t="shared" si="0"/>
        <v>10</v>
      </c>
    </row>
    <row r="33" spans="2:4" x14ac:dyDescent="0.25">
      <c r="B33" s="44" t="s">
        <v>29</v>
      </c>
      <c r="C33" s="45">
        <f>VLOOKUP($C$25&amp;"-"&amp;B33,PlanRef!$B$2:$E$20,4,FALSE)</f>
        <v>0.2</v>
      </c>
      <c r="D33" s="42">
        <f t="shared" si="0"/>
        <v>40</v>
      </c>
    </row>
    <row r="34" spans="2:4" x14ac:dyDescent="0.25">
      <c r="B34" s="44" t="s">
        <v>30</v>
      </c>
      <c r="C34" s="45">
        <f>VLOOKUP($C$25&amp;"-"&amp;B34,PlanRef!$B$2:$E$20,4,FALSE)</f>
        <v>0.1</v>
      </c>
      <c r="D34" s="42">
        <f t="shared" si="0"/>
        <v>20</v>
      </c>
    </row>
    <row r="35" spans="2:4" x14ac:dyDescent="0.25">
      <c r="B35" s="48"/>
      <c r="C35" s="48"/>
      <c r="D35" s="53">
        <f>SUM(D29:D34)</f>
        <v>200</v>
      </c>
    </row>
  </sheetData>
  <mergeCells count="11">
    <mergeCell ref="B13:C13"/>
    <mergeCell ref="B14:C14"/>
    <mergeCell ref="B18:C18"/>
    <mergeCell ref="B15:C15"/>
    <mergeCell ref="B16:C16"/>
    <mergeCell ref="B6:D6"/>
    <mergeCell ref="B7:C7"/>
    <mergeCell ref="B8:C8"/>
    <mergeCell ref="B9:C9"/>
    <mergeCell ref="B12:C12"/>
    <mergeCell ref="B11:D11"/>
  </mergeCells>
  <dataValidations count="2">
    <dataValidation type="list" allowBlank="1" showInputMessage="1" showErrorMessage="1" sqref="D12" xr:uid="{05A2A2CA-35C5-4267-8C5C-93B93D97773D}">
      <formula1>"200,300,500,1000,1500,2000"</formula1>
    </dataValidation>
    <dataValidation type="list" allowBlank="1" showInputMessage="1" showErrorMessage="1" sqref="C25" xr:uid="{E756C7E6-3301-4AD1-A96E-417A5EDFF5B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B78C-23DB-4AEA-91C0-EDAF1002240E}">
  <dimension ref="A2:E45"/>
  <sheetViews>
    <sheetView tabSelected="1" workbookViewId="0">
      <selection activeCell="C34" sqref="C34"/>
    </sheetView>
  </sheetViews>
  <sheetFormatPr defaultRowHeight="15" x14ac:dyDescent="0.25"/>
  <cols>
    <col min="2" max="2" width="31.28515625" bestFit="1" customWidth="1"/>
    <col min="3" max="3" width="12.140625" bestFit="1" customWidth="1"/>
    <col min="4" max="4" width="19" bestFit="1" customWidth="1"/>
    <col min="6" max="6" width="2" customWidth="1"/>
    <col min="7" max="7" width="29.140625" bestFit="1" customWidth="1"/>
    <col min="9" max="9" width="14.7109375" customWidth="1"/>
    <col min="11" max="11" width="2" customWidth="1"/>
    <col min="12" max="12" width="18.5703125" bestFit="1" customWidth="1"/>
  </cols>
  <sheetData>
    <row r="2" spans="2:5" x14ac:dyDescent="0.25">
      <c r="B2" s="52" t="s">
        <v>33</v>
      </c>
      <c r="C2" s="52" t="s">
        <v>19</v>
      </c>
      <c r="D2" s="47" t="s">
        <v>22</v>
      </c>
      <c r="E2" s="52" t="s">
        <v>34</v>
      </c>
    </row>
    <row r="3" spans="2:5" x14ac:dyDescent="0.25">
      <c r="B3" t="str">
        <f>$C$3&amp;"-"&amp;D3</f>
        <v>Agressivo-PAPEL</v>
      </c>
      <c r="C3" t="s">
        <v>20</v>
      </c>
      <c r="D3" s="44" t="s">
        <v>25</v>
      </c>
      <c r="E3" s="43">
        <v>0.5</v>
      </c>
    </row>
    <row r="4" spans="2:5" x14ac:dyDescent="0.25">
      <c r="B4" t="str">
        <f t="shared" ref="B4:B8" si="0">$C$3&amp;"-"&amp;D4</f>
        <v>Agressivo-TIJOLO</v>
      </c>
      <c r="C4" t="s">
        <v>20</v>
      </c>
      <c r="D4" s="44" t="s">
        <v>26</v>
      </c>
      <c r="E4" s="43">
        <v>0.1</v>
      </c>
    </row>
    <row r="5" spans="2:5" x14ac:dyDescent="0.25">
      <c r="B5" t="str">
        <f t="shared" si="0"/>
        <v>Agressivo-HIBRIDOS</v>
      </c>
      <c r="C5" t="s">
        <v>20</v>
      </c>
      <c r="D5" s="44" t="s">
        <v>27</v>
      </c>
      <c r="E5" s="43">
        <v>0.05</v>
      </c>
    </row>
    <row r="6" spans="2:5" x14ac:dyDescent="0.25">
      <c r="B6" t="str">
        <f t="shared" si="0"/>
        <v>Agressivo-FOFs</v>
      </c>
      <c r="C6" t="s">
        <v>20</v>
      </c>
      <c r="D6" s="44" t="s">
        <v>28</v>
      </c>
      <c r="E6" s="43">
        <v>0.05</v>
      </c>
    </row>
    <row r="7" spans="2:5" x14ac:dyDescent="0.25">
      <c r="B7" t="str">
        <f t="shared" si="0"/>
        <v>Agressivo-DESENVOLVIMENTO</v>
      </c>
      <c r="C7" t="s">
        <v>20</v>
      </c>
      <c r="D7" s="44" t="s">
        <v>29</v>
      </c>
      <c r="E7" s="43">
        <v>0.2</v>
      </c>
    </row>
    <row r="8" spans="2:5" ht="15.75" thickBot="1" x14ac:dyDescent="0.3">
      <c r="B8" s="49" t="str">
        <f t="shared" si="0"/>
        <v>Agressivo-HOTELARIA</v>
      </c>
      <c r="C8" s="49" t="s">
        <v>20</v>
      </c>
      <c r="D8" s="50" t="s">
        <v>30</v>
      </c>
      <c r="E8" s="51">
        <v>0.1</v>
      </c>
    </row>
    <row r="9" spans="2:5" ht="15.75" thickTop="1" x14ac:dyDescent="0.25">
      <c r="B9" t="str">
        <f>$C$9&amp;"-"&amp;D9</f>
        <v>Moderado-PAPEL</v>
      </c>
      <c r="C9" t="s">
        <v>32</v>
      </c>
      <c r="D9" s="44" t="s">
        <v>25</v>
      </c>
      <c r="E9" s="43">
        <v>0.22</v>
      </c>
    </row>
    <row r="10" spans="2:5" x14ac:dyDescent="0.25">
      <c r="B10" t="str">
        <f>$C$9&amp;"-"&amp;D10</f>
        <v>Moderado-TIJOLO</v>
      </c>
      <c r="C10" t="s">
        <v>32</v>
      </c>
      <c r="D10" s="44" t="s">
        <v>26</v>
      </c>
      <c r="E10" s="43">
        <v>0.4</v>
      </c>
    </row>
    <row r="11" spans="2:5" x14ac:dyDescent="0.25">
      <c r="B11" t="str">
        <f>$C$9&amp;"-"&amp;D11</f>
        <v>Moderado-HIBRIDOS</v>
      </c>
      <c r="C11" t="s">
        <v>32</v>
      </c>
      <c r="D11" s="44" t="s">
        <v>27</v>
      </c>
      <c r="E11" s="43">
        <v>0.08</v>
      </c>
    </row>
    <row r="12" spans="2:5" x14ac:dyDescent="0.25">
      <c r="B12" t="str">
        <f>$C$9&amp;"-"&amp;D12</f>
        <v>Moderado-FOFs</v>
      </c>
      <c r="C12" t="s">
        <v>32</v>
      </c>
      <c r="D12" s="44" t="s">
        <v>28</v>
      </c>
      <c r="E12" s="43">
        <v>0.1</v>
      </c>
    </row>
    <row r="13" spans="2:5" x14ac:dyDescent="0.25">
      <c r="B13" t="str">
        <f>$C$9&amp;"-"&amp;D13</f>
        <v>Moderado-DESENVOLVIMENTO</v>
      </c>
      <c r="C13" t="s">
        <v>32</v>
      </c>
      <c r="D13" s="44" t="s">
        <v>29</v>
      </c>
      <c r="E13" s="43">
        <v>0.1</v>
      </c>
    </row>
    <row r="14" spans="2:5" ht="15.75" thickBot="1" x14ac:dyDescent="0.3">
      <c r="B14" s="49" t="str">
        <f>$C$9&amp;"-"&amp;D14</f>
        <v>Moderado-HOTELARIA</v>
      </c>
      <c r="C14" s="49" t="s">
        <v>32</v>
      </c>
      <c r="D14" s="50" t="s">
        <v>30</v>
      </c>
      <c r="E14" s="51">
        <v>0.1</v>
      </c>
    </row>
    <row r="15" spans="2:5" ht="15.75" thickTop="1" x14ac:dyDescent="0.25">
      <c r="B15" t="str">
        <f>$C$15&amp;"-"&amp;D15</f>
        <v>Conservador-PAPEL</v>
      </c>
      <c r="C15" t="s">
        <v>31</v>
      </c>
      <c r="D15" s="44" t="s">
        <v>25</v>
      </c>
      <c r="E15" s="45">
        <v>0.3</v>
      </c>
    </row>
    <row r="16" spans="2:5" x14ac:dyDescent="0.25">
      <c r="B16" t="str">
        <f>$C$15&amp;"-"&amp;D16</f>
        <v>Conservador-TIJOLO</v>
      </c>
      <c r="C16" t="s">
        <v>31</v>
      </c>
      <c r="D16" s="44" t="s">
        <v>26</v>
      </c>
      <c r="E16" s="45">
        <v>0.5</v>
      </c>
    </row>
    <row r="17" spans="2:5" x14ac:dyDescent="0.25">
      <c r="B17" t="str">
        <f>$C$15&amp;"-"&amp;D17</f>
        <v>Conservador-HIBRIDOS</v>
      </c>
      <c r="C17" t="s">
        <v>31</v>
      </c>
      <c r="D17" s="44" t="s">
        <v>27</v>
      </c>
      <c r="E17" s="45">
        <v>0.1</v>
      </c>
    </row>
    <row r="18" spans="2:5" x14ac:dyDescent="0.25">
      <c r="B18" t="str">
        <f>$C$15&amp;"-"&amp;D18</f>
        <v>Conservador-FOFs</v>
      </c>
      <c r="C18" t="s">
        <v>31</v>
      </c>
      <c r="D18" s="44" t="s">
        <v>28</v>
      </c>
      <c r="E18" s="46">
        <v>9.7100000000000006E-2</v>
      </c>
    </row>
    <row r="19" spans="2:5" x14ac:dyDescent="0.25">
      <c r="B19" t="str">
        <f>$C$15&amp;"-"&amp;D19</f>
        <v>Conservador-DESENVOLVIMENTO</v>
      </c>
      <c r="C19" t="s">
        <v>31</v>
      </c>
      <c r="D19" s="44" t="s">
        <v>29</v>
      </c>
      <c r="E19" s="46">
        <v>1E-3</v>
      </c>
    </row>
    <row r="20" spans="2:5" x14ac:dyDescent="0.25">
      <c r="B20" t="str">
        <f>$C$15&amp;"-"&amp;D20</f>
        <v>Conservador-HOTELARIA</v>
      </c>
      <c r="C20" t="s">
        <v>31</v>
      </c>
      <c r="D20" s="44" t="s">
        <v>30</v>
      </c>
      <c r="E20" s="46">
        <v>1.9E-3</v>
      </c>
    </row>
    <row r="39" spans="1:2" x14ac:dyDescent="0.25">
      <c r="A39" t="s">
        <v>0</v>
      </c>
    </row>
    <row r="40" spans="1:2" x14ac:dyDescent="0.25">
      <c r="A40" t="s">
        <v>1</v>
      </c>
    </row>
    <row r="41" spans="1:2" x14ac:dyDescent="0.25">
      <c r="A41" t="s">
        <v>2</v>
      </c>
    </row>
    <row r="42" spans="1:2" x14ac:dyDescent="0.25">
      <c r="A42" t="s">
        <v>3</v>
      </c>
    </row>
    <row r="43" spans="1:2" x14ac:dyDescent="0.25">
      <c r="A43" t="s">
        <v>4</v>
      </c>
    </row>
    <row r="45" spans="1:2" x14ac:dyDescent="0.25">
      <c r="A45" t="s">
        <v>17</v>
      </c>
      <c r="B45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PlanRef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Dumonte Fonseca Barbosa Junior</dc:creator>
  <cp:lastModifiedBy>Dumonte Fonseca Barbosa Junior</cp:lastModifiedBy>
  <dcterms:created xsi:type="dcterms:W3CDTF">2026-01-16T18:57:56Z</dcterms:created>
  <dcterms:modified xsi:type="dcterms:W3CDTF">2026-01-17T15:06:04Z</dcterms:modified>
</cp:coreProperties>
</file>